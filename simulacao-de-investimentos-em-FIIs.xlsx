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antander - Execel com IA e Claude\Atividades\1 - Criando uma Ferramenta de Controle de Investimentos com Excel\simulacao-de-investimentos-em-FIIs\"/>
    </mc:Choice>
  </mc:AlternateContent>
  <xr:revisionPtr revIDLastSave="0" documentId="13_ncr:1_{FE5F03FF-0527-413D-8514-E0D7BED94D5C}" xr6:coauthVersionLast="46" xr6:coauthVersionMax="46" xr10:uidLastSave="{00000000-0000-0000-0000-000000000000}"/>
  <bookViews>
    <workbookView xWindow="-120" yWindow="-120" windowWidth="24240" windowHeight="13140" xr2:uid="{4C958F1B-1E1E-41F0-A88B-3BB4B052596A}"/>
  </bookViews>
  <sheets>
    <sheet name="Simulação" sheetId="1" r:id="rId1"/>
    <sheet name="tab_de_apoio" sheetId="2" r:id="rId2"/>
  </sheets>
  <definedNames>
    <definedName name="patrimonio">Simulação!$D$22</definedName>
    <definedName name="qtd_anos">Simulação!$D$20</definedName>
    <definedName name="rend_carteira">Simulação!$D$14</definedName>
    <definedName name="salario">Simulação!$D$13</definedName>
    <definedName name="sug_inv">Simulação!$D$15</definedName>
    <definedName name="taxa_rend">Simulação!$D$21</definedName>
    <definedName name="valor_inv">Simulação!$D$19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D39" i="1" s="1"/>
  <c r="C40" i="1"/>
  <c r="D40" i="1" s="1"/>
  <c r="C41" i="1"/>
  <c r="D41" i="1" s="1"/>
  <c r="C42" i="1"/>
  <c r="D42" i="1" s="1"/>
  <c r="C43" i="1"/>
  <c r="D43" i="1" s="1"/>
  <c r="C38" i="1"/>
  <c r="D38" i="1" s="1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C28" i="1"/>
  <c r="D28" i="1" s="1"/>
  <c r="C29" i="1"/>
  <c r="D29" i="1" s="1"/>
  <c r="C30" i="1"/>
  <c r="D30" i="1" s="1"/>
  <c r="C31" i="1"/>
  <c r="D31" i="1" s="1"/>
  <c r="C27" i="1"/>
  <c r="D27" i="1" s="1"/>
  <c r="D15" i="1"/>
  <c r="D22" i="1"/>
  <c r="D23" i="1" s="1"/>
  <c r="D44" i="1" l="1"/>
</calcChain>
</file>

<file path=xl/sharedStrings.xml><?xml version="1.0" encoding="utf-8"?>
<sst xmlns="http://schemas.openxmlformats.org/spreadsheetml/2006/main" count="69" uniqueCount="33">
  <si>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</si>
  <si>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</si>
  <si>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</si>
  <si>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</si>
  <si>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</si>
  <si>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</si>
  <si>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Salário</t>
  </si>
  <si>
    <t>Rendimento Carteira</t>
  </si>
  <si>
    <t>Sugestão de Investimento (30%)</t>
  </si>
  <si>
    <t>CENÁRIOS</t>
  </si>
  <si>
    <t>CONFIGURAÇÕES</t>
  </si>
  <si>
    <t>DIVIDENDOS</t>
  </si>
  <si>
    <t>Quanto em 2 Anos ?</t>
  </si>
  <si>
    <t>Quanto em 5 Anos ?</t>
  </si>
  <si>
    <t>Quanto em 10 Anos ?</t>
  </si>
  <si>
    <t>Quanto em 20 Anos ?</t>
  </si>
  <si>
    <t>Quanto em 30 Anos ?</t>
  </si>
  <si>
    <t>CHAVE</t>
  </si>
  <si>
    <t>PERFIL</t>
  </si>
  <si>
    <t>TIPO DE FII</t>
  </si>
  <si>
    <t>%</t>
  </si>
  <si>
    <t>Conservador</t>
  </si>
  <si>
    <t>PAPEL</t>
  </si>
  <si>
    <t>TIJOLO</t>
  </si>
  <si>
    <t>HÍBRIDOS</t>
  </si>
  <si>
    <t>FOFs</t>
  </si>
  <si>
    <t>DESENVOLVIMENTO</t>
  </si>
  <si>
    <t>HOTELARIAS</t>
  </si>
  <si>
    <t>Moderado</t>
  </si>
  <si>
    <t>Agressivo</t>
  </si>
  <si>
    <t>Valor a ser investido por mês</t>
  </si>
  <si>
    <t>Percentual Sugerido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</si>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</sst>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Segoe UI"/>
      <family val="2"/>
    </font>
    <font>
      <sz val="16"/>
      <color theme="0"/>
      <name val="Segoe UI"/>
      <family val="2"/>
    </font>
    <font>
      <sz val="11"/>
      <color theme="1"/>
      <name val="Segoe UI"/>
      <family val="2"/>
    </font>
    <font>
      <sz val="11"/>
      <color theme="0"/>
      <name val="Segoe UI"/>
      <family val="2"/>
    </font>
    <font>
      <b/>
      <sz val="11"/>
      <color theme="1"/>
      <name val="Segoe UI"/>
      <family val="2"/>
    </font>
    <font>
      <sz val="14"/>
      <color theme="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4" fillId="2" borderId="6" xfId="0" applyFont="1" applyFill="1" applyBorder="1" applyAlignment="1">
      <alignment horizontal="left" indent="4"/>
    </xf>
    <xf numFmtId="0" fontId="4" fillId="2" borderId="2" xfId="0" applyFont="1" applyFill="1" applyBorder="1" applyAlignment="1">
      <alignment horizontal="left" indent="4"/>
    </xf>
    <xf numFmtId="0" fontId="4" fillId="3" borderId="6" xfId="0" applyFont="1" applyFill="1" applyBorder="1" applyAlignment="1">
      <alignment horizontal="left" indent="4"/>
    </xf>
    <xf numFmtId="0" fontId="4" fillId="3" borderId="2" xfId="0" applyFont="1" applyFill="1" applyBorder="1" applyAlignment="1">
      <alignment horizontal="left" indent="4"/>
    </xf>
    <xf numFmtId="0" fontId="4" fillId="3" borderId="8" xfId="0" applyFont="1" applyFill="1" applyBorder="1" applyAlignment="1">
      <alignment horizontal="left" indent="4"/>
    </xf>
    <xf numFmtId="0" fontId="4" fillId="3" borderId="9" xfId="0" applyFont="1" applyFill="1" applyBorder="1" applyAlignment="1">
      <alignment horizontal="left" indent="4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left" indent="4"/>
    </xf>
    <xf numFmtId="0" fontId="4" fillId="3" borderId="15" xfId="0" applyFont="1" applyFill="1" applyBorder="1" applyAlignment="1">
      <alignment horizontal="left" indent="4"/>
    </xf>
    <xf numFmtId="0" fontId="4" fillId="5" borderId="0" xfId="0" applyFont="1" applyFill="1" applyBorder="1" applyAlignment="1">
      <alignment horizontal="left" indent="4"/>
    </xf>
    <xf numFmtId="165" fontId="4" fillId="3" borderId="14" xfId="0" applyNumberFormat="1" applyFont="1" applyFill="1" applyBorder="1" applyAlignment="1">
      <alignment horizontal="left"/>
    </xf>
    <xf numFmtId="165" fontId="4" fillId="3" borderId="16" xfId="0" applyNumberFormat="1" applyFont="1" applyFill="1" applyBorder="1" applyAlignment="1">
      <alignment horizontal="left"/>
    </xf>
    <xf numFmtId="0" fontId="0" fillId="5" borderId="0" xfId="0" applyFill="1"/>
    <xf numFmtId="0" fontId="3" fillId="6" borderId="0" xfId="0" applyFont="1" applyFill="1"/>
    <xf numFmtId="0" fontId="3" fillId="6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5" borderId="0" xfId="0" applyFill="1" applyAlignment="1">
      <alignment horizontal="center"/>
    </xf>
    <xf numFmtId="9" fontId="0" fillId="5" borderId="0" xfId="0" applyNumberFormat="1" applyFill="1" applyAlignment="1">
      <alignment horizontal="center"/>
    </xf>
    <xf numFmtId="0" fontId="4" fillId="2" borderId="0" xfId="0" applyFont="1" applyFill="1" applyAlignment="1">
      <alignment horizontal="left" indent="4"/>
    </xf>
    <xf numFmtId="0" fontId="2" fillId="8" borderId="0" xfId="0" applyFont="1" applyFill="1" applyAlignment="1">
      <alignment horizontal="center"/>
    </xf>
    <xf numFmtId="0" fontId="6" fillId="0" borderId="0" xfId="0" applyFont="1"/>
    <xf numFmtId="165" fontId="6" fillId="0" borderId="7" xfId="1" applyNumberFormat="1" applyFont="1" applyBorder="1" applyAlignment="1" applyProtection="1">
      <alignment horizontal="left"/>
      <protection locked="0"/>
    </xf>
    <xf numFmtId="9" fontId="6" fillId="0" borderId="7" xfId="2" applyFont="1" applyBorder="1" applyAlignment="1" applyProtection="1">
      <alignment horizontal="left"/>
      <protection locked="0"/>
    </xf>
    <xf numFmtId="165" fontId="6" fillId="3" borderId="10" xfId="1" applyNumberFormat="1" applyFont="1" applyFill="1" applyBorder="1" applyAlignment="1" applyProtection="1">
      <alignment horizontal="left"/>
    </xf>
    <xf numFmtId="0" fontId="6" fillId="0" borderId="7" xfId="0" applyFont="1" applyBorder="1" applyAlignment="1" applyProtection="1">
      <alignment horizontal="left"/>
      <protection locked="0"/>
    </xf>
    <xf numFmtId="10" fontId="6" fillId="0" borderId="7" xfId="0" applyNumberFormat="1" applyFont="1" applyBorder="1" applyAlignment="1" applyProtection="1">
      <alignment horizontal="left"/>
      <protection locked="0"/>
    </xf>
    <xf numFmtId="165" fontId="6" fillId="3" borderId="7" xfId="0" applyNumberFormat="1" applyFont="1" applyFill="1" applyBorder="1" applyAlignment="1">
      <alignment horizontal="left"/>
    </xf>
    <xf numFmtId="165" fontId="6" fillId="3" borderId="10" xfId="0" applyNumberFormat="1" applyFont="1" applyFill="1" applyBorder="1" applyAlignment="1">
      <alignment horizontal="left"/>
    </xf>
    <xf numFmtId="165" fontId="6" fillId="5" borderId="0" xfId="0" applyNumberFormat="1" applyFont="1" applyFill="1" applyBorder="1" applyAlignment="1">
      <alignment horizontal="left"/>
    </xf>
    <xf numFmtId="0" fontId="7" fillId="5" borderId="0" xfId="0" applyFont="1" applyFill="1"/>
    <xf numFmtId="44" fontId="6" fillId="3" borderId="7" xfId="0" applyNumberFormat="1" applyFont="1" applyFill="1" applyBorder="1" applyAlignment="1" applyProtection="1">
      <alignment horizontal="left"/>
    </xf>
    <xf numFmtId="44" fontId="6" fillId="3" borderId="7" xfId="0" applyNumberFormat="1" applyFont="1" applyFill="1" applyBorder="1" applyAlignment="1">
      <alignment horizontal="left"/>
    </xf>
    <xf numFmtId="44" fontId="6" fillId="3" borderId="10" xfId="0" applyNumberFormat="1" applyFont="1" applyFill="1" applyBorder="1" applyAlignment="1">
      <alignment horizontal="left"/>
    </xf>
    <xf numFmtId="0" fontId="8" fillId="8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9" fontId="6" fillId="3" borderId="0" xfId="2" applyFont="1" applyFill="1"/>
    <xf numFmtId="165" fontId="6" fillId="3" borderId="0" xfId="0" applyNumberFormat="1" applyFont="1" applyFill="1"/>
    <xf numFmtId="0" fontId="6" fillId="3" borderId="0" xfId="0" applyFont="1" applyFill="1" applyAlignment="1"/>
    <xf numFmtId="0" fontId="5" fillId="9" borderId="3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0" fontId="5" fillId="9" borderId="12" xfId="0" applyFont="1" applyFill="1" applyBorder="1" applyAlignment="1">
      <alignment horizontal="center"/>
    </xf>
    <xf numFmtId="0" fontId="5" fillId="9" borderId="5" xfId="0" applyFont="1" applyFill="1" applyBorder="1" applyAlignment="1"/>
    <xf numFmtId="165" fontId="4" fillId="0" borderId="0" xfId="0" applyNumberFormat="1" applyFont="1" applyAlignment="1" applyProtection="1">
      <alignment horizontal="center"/>
      <protection locked="0"/>
    </xf>
    <xf numFmtId="0" fontId="7" fillId="7" borderId="0" xfId="0" applyFont="1" applyFill="1" applyAlignment="1" applyProtection="1">
      <alignment horizontal="center"/>
      <protection locked="0"/>
    </xf>
  </cellXfs>
  <cellStyles count="3">
    <cellStyle name="Moeda" xfId="1" builtinId="4"/>
    <cellStyle name="Normal" xfId="0" builtinId="0"/>
    <cellStyle name="Porcentagem" xfId="2" builtinId="5"/>
  </cellStyles>
  <dxfs count="3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Simulação!$B$38:$B$43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Simulação!$C$38:$C$43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1-409E-8CD5-7B8F16D4E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523875</xdr:colOff>
      <xdr:row>0</xdr:row>
      <xdr:rowOff>161925</xdr:rowOff>
    </xdr:from>
    <xdr:to>
      <xdr:col>4</xdr:col>
      <xdr:colOff>176180</xdr:colOff>
      <xdr:row>7</xdr:row>
      <xdr:rowOff>173348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406486-F72E-400F-99FD-8CA5AA53A2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523875" y="161925"/>
          <a:ext cx="6576980" cy="147827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</xdr:col>
      <xdr:colOff>690562</xdr:colOff>
      <xdr:row>45</xdr:row>
      <xdr:rowOff>33337</xdr:rowOff>
    </xdr:from>
    <xdr:to>
      <xdr:col>3</xdr:col>
      <xdr:colOff>242887</xdr:colOff>
      <xdr:row>58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7706C63-42C1-41CE-A86A-676762E6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1463-315A-46DE-8303-0259A101FE38}">
  <dimension ref="A1:D69"/>
  <sheetViews>
    <sheetView showGridLines="0" tabSelected="1" workbookViewId="0">
      <selection activeCell="C34" sqref="C34:D34"/>
    </sheetView>
  </sheetViews>
  <sheetFormatPr defaultColWidth="0" defaultRowHeight="16.5" zeroHeight="1" x14ac:dyDescent="0.3"/>
  <cols>
    <col min="1" max="1" width="8" style="27" customWidth="1"/>
    <col min="2" max="2" width="38.28515625" style="27" customWidth="1"/>
    <col min="3" max="3" width="37" style="27" customWidth="1"/>
    <col min="4" max="4" width="20.5703125" style="27" customWidth="1"/>
    <col min="5" max="5" width="9.140625" style="27" customWidth="1"/>
    <col min="6" max="12" width="9.140625" style="27" hidden="1" customWidth="1"/>
    <col min="13" max="16384" width="9.140625" style="27" hidden="1"/>
  </cols>
  <sheetData>
    <row r="1" spans="2:4" x14ac:dyDescent="0.3"/>
    <row r="2" spans="2:4" x14ac:dyDescent="0.3"/>
    <row r="3" spans="2:4" x14ac:dyDescent="0.3"/>
    <row r="4" spans="2:4" x14ac:dyDescent="0.3"/>
    <row r="5" spans="2:4" x14ac:dyDescent="0.3"/>
    <row r="6" spans="2:4" x14ac:dyDescent="0.3"/>
    <row r="7" spans="2:4" x14ac:dyDescent="0.3"/>
    <row r="8" spans="2:4" x14ac:dyDescent="0.3"/>
    <row r="9" spans="2:4" x14ac:dyDescent="0.3"/>
    <row r="10" spans="2:4" x14ac:dyDescent="0.3"/>
    <row r="11" spans="2:4" ht="17.25" thickBot="1" x14ac:dyDescent="0.35"/>
    <row r="12" spans="2:4" ht="25.5" x14ac:dyDescent="0.5">
      <c r="B12" s="8" t="s">
        <v>10</v>
      </c>
      <c r="C12" s="9"/>
      <c r="D12" s="10"/>
    </row>
    <row r="13" spans="2:4" ht="17.25" x14ac:dyDescent="0.3">
      <c r="B13" s="2" t="s">
        <v>6</v>
      </c>
      <c r="C13" s="3"/>
      <c r="D13" s="28">
        <v>1600</v>
      </c>
    </row>
    <row r="14" spans="2:4" ht="17.25" x14ac:dyDescent="0.3">
      <c r="B14" s="2" t="s">
        <v>7</v>
      </c>
      <c r="C14" s="3"/>
      <c r="D14" s="29">
        <v>0.01</v>
      </c>
    </row>
    <row r="15" spans="2:4" ht="18" thickBot="1" x14ac:dyDescent="0.35">
      <c r="B15" s="6" t="s">
        <v>8</v>
      </c>
      <c r="C15" s="7"/>
      <c r="D15" s="30">
        <f>salario*0.3</f>
        <v>480</v>
      </c>
    </row>
    <row r="16" spans="2:4" x14ac:dyDescent="0.3"/>
    <row r="17" spans="1:4" ht="17.25" thickBot="1" x14ac:dyDescent="0.35"/>
    <row r="18" spans="1:4" ht="25.5" x14ac:dyDescent="0.5">
      <c r="B18" s="45" t="s">
        <v>5</v>
      </c>
      <c r="C18" s="46"/>
      <c r="D18" s="47"/>
    </row>
    <row r="19" spans="1:4" ht="17.25" x14ac:dyDescent="0.3">
      <c r="B19" s="2" t="s">
        <v>0</v>
      </c>
      <c r="C19" s="3"/>
      <c r="D19" s="31">
        <v>500</v>
      </c>
    </row>
    <row r="20" spans="1:4" ht="17.25" x14ac:dyDescent="0.3">
      <c r="B20" s="2" t="s">
        <v>1</v>
      </c>
      <c r="C20" s="3"/>
      <c r="D20" s="31">
        <v>5</v>
      </c>
    </row>
    <row r="21" spans="1:4" ht="17.25" x14ac:dyDescent="0.3">
      <c r="B21" s="2" t="s">
        <v>2</v>
      </c>
      <c r="C21" s="3"/>
      <c r="D21" s="32">
        <v>1.2E-2</v>
      </c>
    </row>
    <row r="22" spans="1:4" ht="17.25" x14ac:dyDescent="0.3">
      <c r="B22" s="4" t="s">
        <v>3</v>
      </c>
      <c r="C22" s="5"/>
      <c r="D22" s="33">
        <f>FV(taxa_rend,qtd_anos*12,valor_inv*-1)</f>
        <v>43568.636169371173</v>
      </c>
    </row>
    <row r="23" spans="1:4" ht="18" thickBot="1" x14ac:dyDescent="0.35">
      <c r="B23" s="6" t="s">
        <v>4</v>
      </c>
      <c r="C23" s="7"/>
      <c r="D23" s="34">
        <f>patrimonio*rend_carteira</f>
        <v>435.68636169371172</v>
      </c>
    </row>
    <row r="24" spans="1:4" ht="17.25" x14ac:dyDescent="0.3">
      <c r="B24" s="13"/>
      <c r="C24" s="13"/>
      <c r="D24" s="35"/>
    </row>
    <row r="25" spans="1:4" ht="17.25" thickBot="1" x14ac:dyDescent="0.35"/>
    <row r="26" spans="1:4" ht="25.5" x14ac:dyDescent="0.5">
      <c r="A26" s="36"/>
      <c r="B26" s="49" t="s">
        <v>9</v>
      </c>
      <c r="C26" s="50"/>
      <c r="D26" s="51" t="s">
        <v>11</v>
      </c>
    </row>
    <row r="27" spans="1:4" ht="17.25" x14ac:dyDescent="0.3">
      <c r="A27" s="36">
        <v>2</v>
      </c>
      <c r="B27" s="11" t="s">
        <v>12</v>
      </c>
      <c r="C27" s="14">
        <f>FV(taxa_rend,A27*12,valor_inv*-1)</f>
        <v>13811.3668215613</v>
      </c>
      <c r="D27" s="37">
        <f>C27*rend_carteira</f>
        <v>138.11366821561299</v>
      </c>
    </row>
    <row r="28" spans="1:4" ht="17.25" x14ac:dyDescent="0.3">
      <c r="A28" s="36">
        <v>5</v>
      </c>
      <c r="B28" s="11" t="s">
        <v>13</v>
      </c>
      <c r="C28" s="14">
        <f>FV(taxa_rend,A28*12,valor_inv*-1)</f>
        <v>43568.636169371173</v>
      </c>
      <c r="D28" s="37">
        <f>C28*rend_carteira</f>
        <v>435.68636169371172</v>
      </c>
    </row>
    <row r="29" spans="1:4" ht="17.25" x14ac:dyDescent="0.3">
      <c r="A29" s="36">
        <v>10</v>
      </c>
      <c r="B29" s="11" t="s">
        <v>14</v>
      </c>
      <c r="C29" s="14">
        <f>FV(taxa_rend,A29*12,valor_inv*-1)</f>
        <v>132694.69772255924</v>
      </c>
      <c r="D29" s="37">
        <f>C29*rend_carteira</f>
        <v>1326.9469772255925</v>
      </c>
    </row>
    <row r="30" spans="1:4" ht="17.25" x14ac:dyDescent="0.3">
      <c r="A30" s="36">
        <v>20</v>
      </c>
      <c r="B30" s="11" t="s">
        <v>15</v>
      </c>
      <c r="C30" s="14">
        <f>FV(taxa_rend,A30*12,valor_inv*-1)</f>
        <v>687978.58273347176</v>
      </c>
      <c r="D30" s="38">
        <f>C30*rend_carteira</f>
        <v>6879.7858273347174</v>
      </c>
    </row>
    <row r="31" spans="1:4" ht="18" thickBot="1" x14ac:dyDescent="0.35">
      <c r="A31" s="36">
        <v>30</v>
      </c>
      <c r="B31" s="12" t="s">
        <v>16</v>
      </c>
      <c r="C31" s="15">
        <f>FV(taxa_rend,A31*12,valor_inv*-1)</f>
        <v>3011659.922265938</v>
      </c>
      <c r="D31" s="39">
        <f>C31*rend_carteira</f>
        <v>30116.599222659381</v>
      </c>
    </row>
    <row r="32" spans="1:4" x14ac:dyDescent="0.3"/>
    <row r="33" spans="2:4" x14ac:dyDescent="0.3"/>
    <row r="34" spans="2:4" ht="20.25" x14ac:dyDescent="0.35">
      <c r="B34" s="48" t="s">
        <v>18</v>
      </c>
      <c r="C34" s="53" t="s">
        <v>28</v>
      </c>
      <c r="D34" s="53"/>
    </row>
    <row r="35" spans="2:4" ht="17.25" x14ac:dyDescent="0.3">
      <c r="B35" s="25" t="s">
        <v>30</v>
      </c>
      <c r="C35" s="52">
        <v>500</v>
      </c>
      <c r="D35" s="52"/>
    </row>
    <row r="36" spans="2:4" x14ac:dyDescent="0.3"/>
    <row r="37" spans="2:4" x14ac:dyDescent="0.3">
      <c r="B37" s="40" t="s">
        <v>19</v>
      </c>
      <c r="C37" s="26" t="s">
        <v>31</v>
      </c>
      <c r="D37" s="26" t="s">
        <v>32</v>
      </c>
    </row>
    <row r="38" spans="2:4" x14ac:dyDescent="0.3">
      <c r="B38" s="41" t="s">
        <v>22</v>
      </c>
      <c r="C38" s="42">
        <f>VLOOKUP(Simulação!$C$34&amp;"-"&amp;Simulação!$B38,tab_de_apoio!$A:$D,4,FALSE)</f>
        <v>0.32</v>
      </c>
      <c r="D38" s="43">
        <f>C38*$C$35</f>
        <v>160</v>
      </c>
    </row>
    <row r="39" spans="2:4" x14ac:dyDescent="0.3">
      <c r="B39" s="41" t="s">
        <v>23</v>
      </c>
      <c r="C39" s="42">
        <f>VLOOKUP(Simulação!$C$34&amp;"-"&amp;Simulação!$B39,tab_de_apoio!$A:$D,4,FALSE)</f>
        <v>0.35</v>
      </c>
      <c r="D39" s="43">
        <f t="shared" ref="D39:D43" si="0">C39*$C$35</f>
        <v>175</v>
      </c>
    </row>
    <row r="40" spans="2:4" x14ac:dyDescent="0.3">
      <c r="B40" s="41" t="s">
        <v>24</v>
      </c>
      <c r="C40" s="42">
        <f>VLOOKUP(Simulação!$C$34&amp;"-"&amp;Simulação!$B40,tab_de_apoio!$A:$D,4,FALSE)</f>
        <v>0.08</v>
      </c>
      <c r="D40" s="43">
        <f t="shared" si="0"/>
        <v>40</v>
      </c>
    </row>
    <row r="41" spans="2:4" x14ac:dyDescent="0.3">
      <c r="B41" s="41" t="s">
        <v>25</v>
      </c>
      <c r="C41" s="42">
        <f>VLOOKUP(Simulação!$C$34&amp;"-"&amp;Simulação!$B41,tab_de_apoio!$A:$D,4,FALSE)</f>
        <v>0.05</v>
      </c>
      <c r="D41" s="43">
        <f t="shared" si="0"/>
        <v>25</v>
      </c>
    </row>
    <row r="42" spans="2:4" x14ac:dyDescent="0.3">
      <c r="B42" s="41" t="s">
        <v>26</v>
      </c>
      <c r="C42" s="42">
        <f>VLOOKUP(Simulação!$C$34&amp;"-"&amp;Simulação!$B42,tab_de_apoio!$A:$D,4,FALSE)</f>
        <v>0.1</v>
      </c>
      <c r="D42" s="43">
        <f t="shared" si="0"/>
        <v>50</v>
      </c>
    </row>
    <row r="43" spans="2:4" x14ac:dyDescent="0.3">
      <c r="B43" s="41" t="s">
        <v>27</v>
      </c>
      <c r="C43" s="42">
        <f>VLOOKUP(Simulação!$C$34&amp;"-"&amp;Simulação!$B43,tab_de_apoio!$A:$D,4,FALSE)</f>
        <v>0.1</v>
      </c>
      <c r="D43" s="43">
        <f t="shared" si="0"/>
        <v>50</v>
      </c>
    </row>
    <row r="44" spans="2:4" x14ac:dyDescent="0.3">
      <c r="B44" s="44"/>
      <c r="C44" s="44"/>
      <c r="D44" s="43">
        <f>SUM(D38:D43)</f>
        <v>500</v>
      </c>
    </row>
    <row r="45" spans="2:4" x14ac:dyDescent="0.3"/>
    <row r="46" spans="2:4" x14ac:dyDescent="0.3"/>
    <row r="47" spans="2:4" x14ac:dyDescent="0.3"/>
    <row r="48" spans="2:4" x14ac:dyDescent="0.3"/>
    <row r="49" s="27" customFormat="1" x14ac:dyDescent="0.3"/>
    <row r="50" s="27" customFormat="1" x14ac:dyDescent="0.3"/>
    <row r="51" s="27" customFormat="1" x14ac:dyDescent="0.3"/>
    <row r="52" s="27" customFormat="1" x14ac:dyDescent="0.3"/>
    <row r="53" s="27" customFormat="1" x14ac:dyDescent="0.3"/>
    <row r="54" s="27" customFormat="1" x14ac:dyDescent="0.3"/>
    <row r="55" s="27" customFormat="1" x14ac:dyDescent="0.3"/>
    <row r="56" s="27" customFormat="1" x14ac:dyDescent="0.3"/>
    <row r="57" s="27" customFormat="1" x14ac:dyDescent="0.3"/>
    <row r="58" s="27" customFormat="1" x14ac:dyDescent="0.3"/>
    <row r="59" s="27" customFormat="1" x14ac:dyDescent="0.3"/>
    <row r="60" s="27" customFormat="1" x14ac:dyDescent="0.3"/>
    <row r="61" s="27" customFormat="1" x14ac:dyDescent="0.3"/>
    <row r="62" s="27" customFormat="1" hidden="1" x14ac:dyDescent="0.3"/>
    <row r="63" s="27" customFormat="1" hidden="1" x14ac:dyDescent="0.3"/>
    <row r="64" s="27" customFormat="1" hidden="1" x14ac:dyDescent="0.3"/>
    <row r="65" s="27" customFormat="1" hidden="1" x14ac:dyDescent="0.3"/>
    <row r="66" s="27" customFormat="1" hidden="1" x14ac:dyDescent="0.3"/>
    <row r="67" s="27" customFormat="1" hidden="1" x14ac:dyDescent="0.3"/>
    <row r="68" s="27" customFormat="1" hidden="1" x14ac:dyDescent="0.3"/>
    <row r="69" s="27" customFormat="1" hidden="1" x14ac:dyDescent="0.3"/>
  </sheetData>
  <sheetProtection sheet="1" objects="1" scenarios="1" selectLockedCells="1"/>
  <mergeCells count="13">
    <mergeCell ref="C34:D34"/>
    <mergeCell ref="C35:D35"/>
    <mergeCell ref="B26:C26"/>
    <mergeCell ref="B13:C13"/>
    <mergeCell ref="B18:D18"/>
    <mergeCell ref="B12:D12"/>
    <mergeCell ref="B14:C14"/>
    <mergeCell ref="B15:C15"/>
    <mergeCell ref="B19:C19"/>
    <mergeCell ref="B20:C20"/>
    <mergeCell ref="B21:C21"/>
    <mergeCell ref="B22:C22"/>
    <mergeCell ref="B23:C23"/>
  </mergeCells>
  <conditionalFormatting sqref="C34">
    <cfRule type="beginsWith" dxfId="2" priority="4" operator="beginsWith" text="Con">
      <formula>LEFT(C34,LEN("Con"))="Con"</formula>
    </cfRule>
  </conditionalFormatting>
  <conditionalFormatting sqref="C34">
    <cfRule type="beginsWith" dxfId="1" priority="3" operator="beginsWith" text="Mod">
      <formula>LEFT(C34,LEN("Mod"))="Mod"</formula>
    </cfRule>
  </conditionalFormatting>
  <conditionalFormatting sqref="C34:D34">
    <cfRule type="beginsWith" dxfId="0" priority="1" operator="beginsWith" text="Agre">
      <formula>LEFT(C34,LEN("Agre"))="Agre"</formula>
    </cfRule>
  </conditionalFormatting>
  <dataValidations count="1">
    <dataValidation type="list" allowBlank="1" showInputMessage="1" showErrorMessage="1" sqref="C34" xr:uid="{62CF59EC-8D15-4FEC-B753-E54E6C66D927}">
      <formula1>"Conservador,Moderado,Agressivo,"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DDB0-5E73-4EB2-AA9E-9FF2DDDD1D2D}">
  <dimension ref="A3:D21"/>
  <sheetViews>
    <sheetView workbookViewId="0">
      <selection activeCell="B15" sqref="B15"/>
    </sheetView>
  </sheetViews>
  <sheetFormatPr defaultRowHeight="15" x14ac:dyDescent="0.25"/>
  <cols>
    <col min="1" max="1" width="38.7109375" customWidth="1"/>
    <col min="2" max="2" width="24.5703125" customWidth="1"/>
    <col min="3" max="3" width="24.140625" customWidth="1"/>
    <col min="4" max="4" width="11.7109375" customWidth="1"/>
  </cols>
  <sheetData>
    <row r="3" spans="1:4" x14ac:dyDescent="0.25">
      <c r="A3" s="17" t="s">
        <v>17</v>
      </c>
      <c r="B3" s="17" t="s">
        <v>18</v>
      </c>
      <c r="C3" s="18" t="s">
        <v>19</v>
      </c>
      <c r="D3" s="18" t="s">
        <v>20</v>
      </c>
    </row>
    <row r="4" spans="1:4" x14ac:dyDescent="0.25">
      <c r="A4" t="str">
        <f>B4&amp;"-"&amp;C4</f>
        <v>Conservador-PAPEL</v>
      </c>
      <c r="B4" t="s">
        <v>21</v>
      </c>
      <c r="C4" s="1" t="s">
        <v>22</v>
      </c>
      <c r="D4" s="19">
        <v>0.3</v>
      </c>
    </row>
    <row r="5" spans="1:4" x14ac:dyDescent="0.25">
      <c r="A5" t="str">
        <f t="shared" ref="A5:A21" si="0">B5&amp;"-"&amp;C5</f>
        <v>Conservador-TIJOLO</v>
      </c>
      <c r="B5" t="s">
        <v>21</v>
      </c>
      <c r="C5" s="1" t="s">
        <v>23</v>
      </c>
      <c r="D5" s="19">
        <v>0.5</v>
      </c>
    </row>
    <row r="6" spans="1:4" x14ac:dyDescent="0.25">
      <c r="A6" t="str">
        <f t="shared" si="0"/>
        <v>Conservador-HÍBRIDOS</v>
      </c>
      <c r="B6" t="s">
        <v>21</v>
      </c>
      <c r="C6" s="1" t="s">
        <v>24</v>
      </c>
      <c r="D6" s="19">
        <v>0.1</v>
      </c>
    </row>
    <row r="7" spans="1:4" x14ac:dyDescent="0.25">
      <c r="A7" t="str">
        <f t="shared" si="0"/>
        <v>Conservador-FOFs</v>
      </c>
      <c r="B7" t="s">
        <v>21</v>
      </c>
      <c r="C7" s="1" t="s">
        <v>25</v>
      </c>
      <c r="D7" s="19">
        <v>0.1</v>
      </c>
    </row>
    <row r="8" spans="1:4" x14ac:dyDescent="0.25">
      <c r="A8" t="str">
        <f t="shared" si="0"/>
        <v>Conservador-DESENVOLVIMENTO</v>
      </c>
      <c r="B8" t="s">
        <v>21</v>
      </c>
      <c r="C8" s="1" t="s">
        <v>26</v>
      </c>
      <c r="D8" s="19">
        <v>0</v>
      </c>
    </row>
    <row r="9" spans="1:4" ht="15.75" thickBot="1" x14ac:dyDescent="0.3">
      <c r="A9" s="20" t="str">
        <f t="shared" si="0"/>
        <v>Conservador-HOTELARIAS</v>
      </c>
      <c r="B9" s="20" t="s">
        <v>21</v>
      </c>
      <c r="C9" s="21" t="s">
        <v>27</v>
      </c>
      <c r="D9" s="22">
        <v>0</v>
      </c>
    </row>
    <row r="10" spans="1:4" x14ac:dyDescent="0.25">
      <c r="A10" t="str">
        <f t="shared" si="0"/>
        <v>Moderado-PAPEL</v>
      </c>
      <c r="B10" t="s">
        <v>28</v>
      </c>
      <c r="C10" s="1" t="s">
        <v>22</v>
      </c>
      <c r="D10" s="19">
        <v>0.32</v>
      </c>
    </row>
    <row r="11" spans="1:4" x14ac:dyDescent="0.25">
      <c r="A11" s="16" t="str">
        <f t="shared" si="0"/>
        <v>Moderado-TIJOLO</v>
      </c>
      <c r="B11" s="16" t="s">
        <v>28</v>
      </c>
      <c r="C11" s="23" t="s">
        <v>23</v>
      </c>
      <c r="D11" s="24">
        <v>0.35</v>
      </c>
    </row>
    <row r="12" spans="1:4" x14ac:dyDescent="0.25">
      <c r="A12" t="str">
        <f t="shared" si="0"/>
        <v>Moderado-HÍBRIDOS</v>
      </c>
      <c r="B12" t="s">
        <v>28</v>
      </c>
      <c r="C12" s="1" t="s">
        <v>24</v>
      </c>
      <c r="D12" s="19">
        <v>0.08</v>
      </c>
    </row>
    <row r="13" spans="1:4" x14ac:dyDescent="0.25">
      <c r="A13" t="str">
        <f t="shared" si="0"/>
        <v>Moderado-FOFs</v>
      </c>
      <c r="B13" t="s">
        <v>28</v>
      </c>
      <c r="C13" s="1" t="s">
        <v>25</v>
      </c>
      <c r="D13" s="19">
        <v>0.05</v>
      </c>
    </row>
    <row r="14" spans="1:4" x14ac:dyDescent="0.25">
      <c r="A14" t="str">
        <f t="shared" si="0"/>
        <v>Moderado-DESENVOLVIMENTO</v>
      </c>
      <c r="B14" t="s">
        <v>28</v>
      </c>
      <c r="C14" s="1" t="s">
        <v>26</v>
      </c>
      <c r="D14" s="19">
        <v>0.1</v>
      </c>
    </row>
    <row r="15" spans="1:4" ht="15.75" thickBot="1" x14ac:dyDescent="0.3">
      <c r="A15" s="20" t="str">
        <f t="shared" si="0"/>
        <v>Moderado-HOTELARIAS</v>
      </c>
      <c r="B15" s="20" t="s">
        <v>28</v>
      </c>
      <c r="C15" s="21" t="s">
        <v>27</v>
      </c>
      <c r="D15" s="22">
        <v>0.1</v>
      </c>
    </row>
    <row r="16" spans="1:4" x14ac:dyDescent="0.25">
      <c r="A16" t="str">
        <f t="shared" si="0"/>
        <v>Agressivo-PAPEL</v>
      </c>
      <c r="B16" t="s">
        <v>29</v>
      </c>
      <c r="C16" s="1" t="s">
        <v>22</v>
      </c>
      <c r="D16" s="19">
        <v>0.5</v>
      </c>
    </row>
    <row r="17" spans="1:4" x14ac:dyDescent="0.25">
      <c r="A17" t="str">
        <f t="shared" si="0"/>
        <v>Agressivo-TIJOLO</v>
      </c>
      <c r="B17" t="s">
        <v>29</v>
      </c>
      <c r="C17" s="1" t="s">
        <v>23</v>
      </c>
      <c r="D17" s="19">
        <v>0.1</v>
      </c>
    </row>
    <row r="18" spans="1:4" x14ac:dyDescent="0.25">
      <c r="A18" t="str">
        <f t="shared" si="0"/>
        <v>Agressivo-HÍBRIDOS</v>
      </c>
      <c r="B18" t="s">
        <v>29</v>
      </c>
      <c r="C18" s="1" t="s">
        <v>24</v>
      </c>
      <c r="D18" s="19">
        <v>0.05</v>
      </c>
    </row>
    <row r="19" spans="1:4" x14ac:dyDescent="0.25">
      <c r="A19" t="str">
        <f t="shared" si="0"/>
        <v>Agressivo-FOFs</v>
      </c>
      <c r="B19" t="s">
        <v>29</v>
      </c>
      <c r="C19" s="1" t="s">
        <v>25</v>
      </c>
      <c r="D19" s="19">
        <v>0.05</v>
      </c>
    </row>
    <row r="20" spans="1:4" x14ac:dyDescent="0.25">
      <c r="A20" t="str">
        <f t="shared" si="0"/>
        <v>Agressivo-DESENVOLVIMENTO</v>
      </c>
      <c r="B20" t="s">
        <v>29</v>
      </c>
      <c r="C20" s="1" t="s">
        <v>26</v>
      </c>
      <c r="D20" s="19">
        <v>0.2</v>
      </c>
    </row>
    <row r="21" spans="1:4" x14ac:dyDescent="0.25">
      <c r="A21" t="str">
        <f t="shared" si="0"/>
        <v>Agressivo-HOTELARIAS</v>
      </c>
      <c r="B21" t="s">
        <v>29</v>
      </c>
      <c r="C21" s="1" t="s">
        <v>27</v>
      </c>
      <c r="D21" s="19">
        <v>0.1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Simulação</vt:lpstr>
      <vt:lpstr>tab_de_apoio</vt:lpstr>
      <vt:lpstr>patrimonio</vt:lpstr>
      <vt:lpstr>qtd_anos</vt:lpstr>
      <vt:lpstr>rend_carteira</vt:lpstr>
      <vt:lpstr>salario</vt:lpstr>
      <vt:lpstr>sug_inv</vt:lpstr>
      <vt:lpstr>taxa_rend</vt:lpstr>
      <vt:lpstr>valor_inv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Silva</dc:creator>
  <cp:lastModifiedBy>Rodrigo Silva</cp:lastModifiedBy>
  <dcterms:created xsi:type="dcterms:W3CDTF">2026-08-28T19:55:06Z</dcterms:created>
  <dcterms:modified xsi:type="dcterms:W3CDTF">2026-08-28T21:46:10Z</dcterms:modified>
</cp:coreProperties>
</file>